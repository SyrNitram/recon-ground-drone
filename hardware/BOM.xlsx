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fabrication\R6-drone\"/>
    </mc:Choice>
  </mc:AlternateContent>
  <xr:revisionPtr revIDLastSave="0" documentId="13_ncr:1_{5B79FA89-2966-4535-A5B9-38F581870541}" xr6:coauthVersionLast="47" xr6:coauthVersionMax="47" xr10:uidLastSave="{00000000-0000-0000-0000-000000000000}"/>
  <bookViews>
    <workbookView xWindow="-120" yWindow="-120" windowWidth="25440" windowHeight="15390" xr2:uid="{E13ED79F-B1A9-433D-9E1D-4AE8ECB8BF0F}"/>
  </bookViews>
  <sheets>
    <sheet name="BOM_bat+ch" sheetId="1" r:id="rId1"/>
    <sheet name="BOM_bat" sheetId="2" r:id="rId2"/>
    <sheet name="BOM" sheetId="3" r:id="rId3"/>
    <sheet name="Mar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 s="1"/>
  <c r="D20" i="1"/>
  <c r="E20" i="1" s="1"/>
  <c r="F20" i="1"/>
  <c r="E6" i="1"/>
  <c r="E3" i="4"/>
  <c r="E4" i="4"/>
  <c r="E5" i="4"/>
  <c r="E6" i="4"/>
  <c r="E2" i="4"/>
  <c r="C3" i="4"/>
  <c r="C4" i="4"/>
  <c r="C5" i="4"/>
  <c r="C6" i="4"/>
  <c r="C2" i="4"/>
  <c r="E11" i="4"/>
  <c r="E10" i="4"/>
  <c r="D4" i="4" s="1"/>
  <c r="B3" i="4"/>
  <c r="B4" i="4"/>
  <c r="B5" i="4"/>
  <c r="B6" i="4"/>
  <c r="B2" i="4"/>
  <c r="E21" i="3"/>
  <c r="E20" i="3"/>
  <c r="E19" i="3"/>
  <c r="F18" i="3"/>
  <c r="E18" i="3"/>
  <c r="F17" i="3"/>
  <c r="D17" i="3"/>
  <c r="E17" i="3" s="1"/>
  <c r="F16" i="3"/>
  <c r="D16" i="3"/>
  <c r="E16" i="3" s="1"/>
  <c r="F15" i="3"/>
  <c r="E15" i="3"/>
  <c r="F14" i="3"/>
  <c r="D14" i="3"/>
  <c r="E14" i="3" s="1"/>
  <c r="F13" i="3"/>
  <c r="E13" i="3"/>
  <c r="F12" i="3"/>
  <c r="E12" i="3"/>
  <c r="F11" i="3"/>
  <c r="F23" i="3" s="1"/>
  <c r="E11" i="3"/>
  <c r="F5" i="3"/>
  <c r="E5" i="3"/>
  <c r="F4" i="3"/>
  <c r="E4" i="3"/>
  <c r="F3" i="3"/>
  <c r="E3" i="3"/>
  <c r="F2" i="3"/>
  <c r="F7" i="3" s="1"/>
  <c r="E2" i="3"/>
  <c r="E6" i="3" s="1"/>
  <c r="F21" i="2"/>
  <c r="D21" i="2"/>
  <c r="E21" i="2" s="1"/>
  <c r="E20" i="2"/>
  <c r="F19" i="2"/>
  <c r="E19" i="2"/>
  <c r="F18" i="2"/>
  <c r="E18" i="2"/>
  <c r="F17" i="2"/>
  <c r="D17" i="2"/>
  <c r="E17" i="2" s="1"/>
  <c r="F16" i="2"/>
  <c r="D16" i="2"/>
  <c r="E16" i="2" s="1"/>
  <c r="F15" i="2"/>
  <c r="E15" i="2"/>
  <c r="F14" i="2"/>
  <c r="D14" i="2"/>
  <c r="E14" i="2" s="1"/>
  <c r="F13" i="2"/>
  <c r="E13" i="2"/>
  <c r="F12" i="2"/>
  <c r="E12" i="2"/>
  <c r="F11" i="2"/>
  <c r="F23" i="2" s="1"/>
  <c r="E11" i="2"/>
  <c r="F5" i="2"/>
  <c r="E5" i="2"/>
  <c r="F4" i="2"/>
  <c r="E4" i="2"/>
  <c r="F3" i="2"/>
  <c r="E3" i="2"/>
  <c r="F2" i="2"/>
  <c r="F7" i="2" s="1"/>
  <c r="E2" i="2"/>
  <c r="E6" i="2" s="1"/>
  <c r="F12" i="1"/>
  <c r="F22" i="1" s="1"/>
  <c r="F2" i="1"/>
  <c r="F3" i="1"/>
  <c r="F4" i="1"/>
  <c r="F5" i="1"/>
  <c r="F13" i="1"/>
  <c r="F14" i="1"/>
  <c r="F15" i="1"/>
  <c r="F16" i="1"/>
  <c r="F17" i="1"/>
  <c r="F18" i="1"/>
  <c r="F19" i="1"/>
  <c r="E18" i="1"/>
  <c r="E19" i="1"/>
  <c r="D15" i="1"/>
  <c r="E15" i="1" s="1"/>
  <c r="E3" i="1"/>
  <c r="E4" i="1"/>
  <c r="E5" i="1"/>
  <c r="E12" i="1"/>
  <c r="E21" i="1" s="1"/>
  <c r="E13" i="1"/>
  <c r="E14" i="1"/>
  <c r="E17" i="1"/>
  <c r="E2" i="1"/>
  <c r="F8" i="1" l="1"/>
  <c r="F26" i="1"/>
  <c r="E7" i="1"/>
  <c r="E25" i="1" s="1"/>
  <c r="D6" i="4"/>
  <c r="F6" i="4" s="1"/>
  <c r="D3" i="4"/>
  <c r="F3" i="4" s="1"/>
  <c r="D2" i="4"/>
  <c r="F2" i="4" s="1"/>
  <c r="F4" i="4"/>
  <c r="D5" i="4"/>
  <c r="F5" i="4" s="1"/>
  <c r="F27" i="3"/>
  <c r="E22" i="3"/>
  <c r="E26" i="3" s="1"/>
  <c r="F27" i="2"/>
  <c r="E22" i="2"/>
  <c r="E26" i="2" s="1"/>
</calcChain>
</file>

<file path=xl/sharedStrings.xml><?xml version="1.0" encoding="utf-8"?>
<sst xmlns="http://schemas.openxmlformats.org/spreadsheetml/2006/main" count="199" uniqueCount="94">
  <si>
    <t>PLA</t>
  </si>
  <si>
    <t>TPU</t>
  </si>
  <si>
    <t>Mecanique</t>
  </si>
  <si>
    <t>kit vis</t>
  </si>
  <si>
    <t>roulement à bille</t>
  </si>
  <si>
    <t>Electronique</t>
  </si>
  <si>
    <t>Moteurs</t>
  </si>
  <si>
    <t>L298N</t>
  </si>
  <si>
    <t>ESP32-cam</t>
  </si>
  <si>
    <t>GPIO-expander</t>
  </si>
  <si>
    <t>Servo-moteur</t>
  </si>
  <si>
    <t>Prix unitaire</t>
  </si>
  <si>
    <t>Prix total</t>
  </si>
  <si>
    <t>Liens</t>
  </si>
  <si>
    <t>https://amzn.eu/d/2PTAt4H</t>
  </si>
  <si>
    <t>Réference</t>
  </si>
  <si>
    <t>ICE Filaments PLA filament, 1.75mm, 0.75 kg Brave Black</t>
  </si>
  <si>
    <t>https://amzn.eu/d/gMaCLZG</t>
  </si>
  <si>
    <t>Resitance</t>
  </si>
  <si>
    <t>Batterie</t>
  </si>
  <si>
    <t xml:space="preserve">SUNLU TPU Filament 1.75 mm,  0.5kg Black </t>
  </si>
  <si>
    <t>230 Pièces M2 Vis à Tête Hexagonale en Acier Inoxydable</t>
  </si>
  <si>
    <t xml:space="preserve">Qté </t>
  </si>
  <si>
    <t>10pcs Roulements à Billes Roulements 6001-2RS (12x28x8mm)</t>
  </si>
  <si>
    <t>https://amzn.eu/d/2nECZO1</t>
  </si>
  <si>
    <t>https://amzn.eu/d/4jeZSVb</t>
  </si>
  <si>
    <t>Moto-reducteur 12v 130RPM</t>
  </si>
  <si>
    <t>Delais de livraison</t>
  </si>
  <si>
    <t>https://amzn.eu/d/0nnKbMM</t>
  </si>
  <si>
    <t>https://fr.aliexpress.com/item/1005003500998134.html?spm=a2g0o.order_list.0.0.21ef5e5baNhf9u&amp;gatewayAdapt=glo2fra</t>
  </si>
  <si>
    <t>5 Pièces L298N Carte contrôleur</t>
  </si>
  <si>
    <t>https://amzn.eu/d/3P0Oj14</t>
  </si>
  <si>
    <t>ESP32 Carte de Développement +OV2640 + antenne 2,4GHz</t>
  </si>
  <si>
    <t>ZkeeShop 6Pcs PCF8574 IO Expansion Board I2C Interface</t>
  </si>
  <si>
    <t>https://amzn.eu/d/fPdxQ3Y</t>
  </si>
  <si>
    <t>https://amzn.eu/d/j3UOdCJ</t>
  </si>
  <si>
    <t>5 Pièces Longruner SG90 Mini Servo Moteur 9g</t>
  </si>
  <si>
    <t>https://amzn.eu/d/gkMQvUh</t>
  </si>
  <si>
    <t>AUKENIEN 500 Pièces 3MM Diode LED Kit D'assortiment (200 utiles)</t>
  </si>
  <si>
    <t>Led rouge ou bleu</t>
  </si>
  <si>
    <t>Résistances carbone 150 Ohms 1/4 Watts +/- 5% (50)</t>
  </si>
  <si>
    <t>kit Gaine thermo + cable+connecteur</t>
  </si>
  <si>
    <t>Chargeur</t>
  </si>
  <si>
    <t>alarme lipo</t>
  </si>
  <si>
    <t>Made in Maison</t>
  </si>
  <si>
    <t>ICQUANZX Chargeur d'équilibre de Batterie au Lithium, B3 Pro 2S-3S</t>
  </si>
  <si>
    <t>5Pack Testeur de batterie basse tension Youmile  1-8S</t>
  </si>
  <si>
    <t>https://amzn.eu/d/6dby1jH</t>
  </si>
  <si>
    <t>https://amzn.eu/d/8aOpBTQ</t>
  </si>
  <si>
    <t>Total robot Meca</t>
  </si>
  <si>
    <t>Total commande Meca</t>
  </si>
  <si>
    <t>Total robot Elec</t>
  </si>
  <si>
    <t>Total commande Elec</t>
  </si>
  <si>
    <t>Prix commande</t>
  </si>
  <si>
    <t>https://amzn.eu/d/aoKDxQv</t>
  </si>
  <si>
    <t>na</t>
  </si>
  <si>
    <t>https://amzn.eu/d/iXAa5Lm</t>
  </si>
  <si>
    <t>TATTU 1550 mAh 11.1 V 45C 3S1P LiPo XT60</t>
  </si>
  <si>
    <t xml:space="preserve">Total robot </t>
  </si>
  <si>
    <t xml:space="preserve">Total commande </t>
  </si>
  <si>
    <t>Prix de vente de base</t>
  </si>
  <si>
    <t>Prix opt batterie</t>
  </si>
  <si>
    <t>Prix option chargeur</t>
  </si>
  <si>
    <t>Marge batterie</t>
  </si>
  <si>
    <t>Marge chargeur</t>
  </si>
  <si>
    <t>Marge robot</t>
  </si>
  <si>
    <t>Prix bat</t>
  </si>
  <si>
    <t>Prix charg</t>
  </si>
  <si>
    <t>Prix alarme</t>
  </si>
  <si>
    <t>OPT batterie</t>
  </si>
  <si>
    <t>inclus batterie et alarme lipo</t>
  </si>
  <si>
    <t>OPT batterie + chargeur</t>
  </si>
  <si>
    <t>inclus batterie, alarme lipo et chargeur</t>
  </si>
  <si>
    <t>Prix base + opt bat</t>
  </si>
  <si>
    <t>Prix base + opt bat et charg</t>
  </si>
  <si>
    <t>Marge  bat et charg</t>
  </si>
  <si>
    <t>Marge bat</t>
  </si>
  <si>
    <t>Prix materiel base</t>
  </si>
  <si>
    <t>Temps impression 3d + temps fabrication</t>
  </si>
  <si>
    <t>Cout total base</t>
  </si>
  <si>
    <t xml:space="preserve">https://amzn.eu/d/efW1nxD </t>
  </si>
  <si>
    <t>10pcs Roulements à Billes Roulements (8x16x5mm)</t>
  </si>
  <si>
    <t>TATTU 1300 mAh 11.1 V 75C 3S1P LiPo XT60</t>
  </si>
  <si>
    <t xml:space="preserve">https://amzn.eu/d/0NoKHRE </t>
  </si>
  <si>
    <t>ressort</t>
  </si>
  <si>
    <t>20pcs 0.4mm 3mm 50mm ressort</t>
  </si>
  <si>
    <t>https://www.aliexpress.com/item/1005001408323096.html?spm=a2g0o.productlist.0.0.89be28ba4DaIoX&amp;algo_pvid=e32b8530-b479-4026-99ff-af0e08b4d622&amp;algo_exp_id=e32b8530-b479-4026-99ff-af0e08b4d622-9&amp;pdp_ext_f=%7B%22sku_id%22%3A%2212000016535463759%22%7D&amp;pdp_npi=2%40dis%21EUR%213.16%212.02%21%21%21%21%21%402100bde316677490162564105ee5ac%2112000016535463759%21sea&amp;curPageLogUid=bRA3kIthAXiv</t>
  </si>
  <si>
    <t>Bouton</t>
  </si>
  <si>
    <t>10Pcs Latching Self-locking Push button</t>
  </si>
  <si>
    <t>https://www.aliexpress.com/item/32691250472.html?spm=a2g0o.productlist.0.0.57e77593Y4C2CL&amp;algo_pvid=208fa7e8-198b-40d7-9229-a93f7a4393f0&amp;algo_exp_id=208fa7e8-198b-40d7-9229-a93f7a4393f0-30&amp;pdp_ext_f=%7B%22sku_id%22%3A%2265591419652%22%7D&amp;pdp_npi=2%40dis%21EUR%213.06%212.97%21%21%21%21%21%402100bdd516677504869541030ec5cc%2165591419652%21sea&amp;curPageLogUid=OlGXOQoaeHWQ</t>
  </si>
  <si>
    <t xml:space="preserve">https://www.aliexpress.com/item/1005004120192357.html?spm=a2g0o.productlist.0.0.21a669ccprDXhS&amp;algo_pvid=d77c0629-76ad-4ff2-b91d-0a0a9e214a32&amp;algo_exp_id=d77c0629-76ad-4ff2-b91d-0a0a9e214a32-10 </t>
  </si>
  <si>
    <t>https://www.aliexpress.com/item/1005003764996533.html?spm=a2g0o.cart.0.0.213438daeBNRyS&amp;mp=1</t>
  </si>
  <si>
    <t>kit Gaine thermo + cable+connecteur+resistance</t>
  </si>
  <si>
    <t>50pcs F3 3MM Round Clear / Fog Two Color Common Anode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</si>
</sst>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eu/d/6dby1jH" TargetMode="External"/><Relationship Id="rId3" Type="http://schemas.openxmlformats.org/officeDocument/2006/relationships/hyperlink" Target="https://amzn.eu/d/2nECZO1" TargetMode="External"/><Relationship Id="rId7" Type="http://schemas.openxmlformats.org/officeDocument/2006/relationships/hyperlink" Target="https://amzn.eu/d/fPdxQ3Y" TargetMode="External"/><Relationship Id="rId2" Type="http://schemas.openxmlformats.org/officeDocument/2006/relationships/hyperlink" Target="https://amzn.eu/d/gMaCLZG" TargetMode="External"/><Relationship Id="rId1" Type="http://schemas.openxmlformats.org/officeDocument/2006/relationships/hyperlink" Target="https://amzn.eu/d/2PTAt4H" TargetMode="External"/><Relationship Id="rId6" Type="http://schemas.openxmlformats.org/officeDocument/2006/relationships/hyperlink" Target="https://fr.aliexpress.com/item/1005003500998134.html?spm=a2g0o.order_list.0.0.21ef5e5baNhf9u&amp;gatewayAdapt=glo2fr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mzn.eu/d/0nnKbMM" TargetMode="External"/><Relationship Id="rId10" Type="http://schemas.openxmlformats.org/officeDocument/2006/relationships/hyperlink" Target="https://www.aliexpress.com/item/1005004120192357.html?spm=a2g0o.productlist.0.0.21a669ccprDXhS&amp;algo_pvid=d77c0629-76ad-4ff2-b91d-0a0a9e214a32&amp;algo_exp_id=d77c0629-76ad-4ff2-b91d-0a0a9e214a32-10" TargetMode="External"/><Relationship Id="rId4" Type="http://schemas.openxmlformats.org/officeDocument/2006/relationships/hyperlink" Target="https://amzn.eu/d/efW1nxD" TargetMode="External"/><Relationship Id="rId9" Type="http://schemas.openxmlformats.org/officeDocument/2006/relationships/hyperlink" Target="https://amzn.eu/d/0NoKHR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eu/d/j3UOdCJ" TargetMode="External"/><Relationship Id="rId13" Type="http://schemas.openxmlformats.org/officeDocument/2006/relationships/hyperlink" Target="https://amzn.eu/d/iXAa5Lm" TargetMode="External"/><Relationship Id="rId3" Type="http://schemas.openxmlformats.org/officeDocument/2006/relationships/hyperlink" Target="https://amzn.eu/d/2nECZO1" TargetMode="External"/><Relationship Id="rId7" Type="http://schemas.openxmlformats.org/officeDocument/2006/relationships/hyperlink" Target="https://amzn.eu/d/fPdxQ3Y" TargetMode="External"/><Relationship Id="rId12" Type="http://schemas.openxmlformats.org/officeDocument/2006/relationships/hyperlink" Target="https://amzn.eu/d/aoKDxQv" TargetMode="External"/><Relationship Id="rId2" Type="http://schemas.openxmlformats.org/officeDocument/2006/relationships/hyperlink" Target="https://amzn.eu/d/gMaCLZG" TargetMode="External"/><Relationship Id="rId1" Type="http://schemas.openxmlformats.org/officeDocument/2006/relationships/hyperlink" Target="https://amzn.eu/d/2PTAt4H" TargetMode="External"/><Relationship Id="rId6" Type="http://schemas.openxmlformats.org/officeDocument/2006/relationships/hyperlink" Target="https://fr.aliexpress.com/item/1005003500998134.html?spm=a2g0o.order_list.0.0.21ef5e5baNhf9u&amp;gatewayAdapt=glo2fra" TargetMode="External"/><Relationship Id="rId11" Type="http://schemas.openxmlformats.org/officeDocument/2006/relationships/hyperlink" Target="https://amzn.eu/d/8aOpBTQ" TargetMode="External"/><Relationship Id="rId5" Type="http://schemas.openxmlformats.org/officeDocument/2006/relationships/hyperlink" Target="https://amzn.eu/d/0nnKbMM" TargetMode="External"/><Relationship Id="rId10" Type="http://schemas.openxmlformats.org/officeDocument/2006/relationships/hyperlink" Target="https://amzn.eu/d/6dby1jH" TargetMode="External"/><Relationship Id="rId4" Type="http://schemas.openxmlformats.org/officeDocument/2006/relationships/hyperlink" Target="https://amzn.eu/d/4jeZSVb" TargetMode="External"/><Relationship Id="rId9" Type="http://schemas.openxmlformats.org/officeDocument/2006/relationships/hyperlink" Target="https://amzn.eu/d/gkMQvUh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eu/d/j3UOdCJ" TargetMode="External"/><Relationship Id="rId13" Type="http://schemas.openxmlformats.org/officeDocument/2006/relationships/hyperlink" Target="https://amzn.eu/d/iXAa5Lm" TargetMode="External"/><Relationship Id="rId3" Type="http://schemas.openxmlformats.org/officeDocument/2006/relationships/hyperlink" Target="https://amzn.eu/d/2nECZO1" TargetMode="External"/><Relationship Id="rId7" Type="http://schemas.openxmlformats.org/officeDocument/2006/relationships/hyperlink" Target="https://amzn.eu/d/fPdxQ3Y" TargetMode="External"/><Relationship Id="rId12" Type="http://schemas.openxmlformats.org/officeDocument/2006/relationships/hyperlink" Target="https://amzn.eu/d/aoKDxQv" TargetMode="External"/><Relationship Id="rId2" Type="http://schemas.openxmlformats.org/officeDocument/2006/relationships/hyperlink" Target="https://amzn.eu/d/gMaCLZG" TargetMode="External"/><Relationship Id="rId1" Type="http://schemas.openxmlformats.org/officeDocument/2006/relationships/hyperlink" Target="https://amzn.eu/d/2PTAt4H" TargetMode="External"/><Relationship Id="rId6" Type="http://schemas.openxmlformats.org/officeDocument/2006/relationships/hyperlink" Target="https://fr.aliexpress.com/item/1005003500998134.html?spm=a2g0o.order_list.0.0.21ef5e5baNhf9u&amp;gatewayAdapt=glo2fra" TargetMode="External"/><Relationship Id="rId11" Type="http://schemas.openxmlformats.org/officeDocument/2006/relationships/hyperlink" Target="https://amzn.eu/d/8aOpBTQ" TargetMode="External"/><Relationship Id="rId5" Type="http://schemas.openxmlformats.org/officeDocument/2006/relationships/hyperlink" Target="https://amzn.eu/d/0nnKbMM" TargetMode="External"/><Relationship Id="rId10" Type="http://schemas.openxmlformats.org/officeDocument/2006/relationships/hyperlink" Target="https://amzn.eu/d/6dby1jH" TargetMode="External"/><Relationship Id="rId4" Type="http://schemas.openxmlformats.org/officeDocument/2006/relationships/hyperlink" Target="https://amzn.eu/d/4jeZSVb" TargetMode="External"/><Relationship Id="rId9" Type="http://schemas.openxmlformats.org/officeDocument/2006/relationships/hyperlink" Target="https://amzn.eu/d/gkMQv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608F-64CD-46FC-A1E9-BAF74BED3D4E}">
  <dimension ref="A1:I26"/>
  <sheetViews>
    <sheetView tabSelected="1" zoomScale="115" zoomScaleNormal="115" workbookViewId="0">
      <selection activeCell="A17" sqref="A17"/>
    </sheetView>
  </sheetViews>
  <sheetFormatPr baseColWidth="10" defaultRowHeight="15" x14ac:dyDescent="0.25"/>
  <cols>
    <col min="1" max="1" width="37" customWidth="1"/>
    <col min="2" max="2" width="65.42578125" customWidth="1"/>
    <col min="3" max="3" width="15" customWidth="1"/>
    <col min="4" max="4" width="13.42578125" customWidth="1"/>
    <col min="6" max="6" width="16.7109375" customWidth="1"/>
    <col min="7" max="7" width="17.42578125" customWidth="1"/>
    <col min="8" max="8" width="28.42578125" customWidth="1"/>
  </cols>
  <sheetData>
    <row r="1" spans="1:9" x14ac:dyDescent="0.25">
      <c r="A1" s="2" t="s">
        <v>2</v>
      </c>
      <c r="B1" s="2" t="s">
        <v>15</v>
      </c>
      <c r="C1" s="2" t="s">
        <v>11</v>
      </c>
      <c r="D1" s="2" t="s">
        <v>22</v>
      </c>
      <c r="E1" s="2" t="s">
        <v>12</v>
      </c>
      <c r="F1" s="2" t="s">
        <v>53</v>
      </c>
      <c r="G1" s="2" t="s">
        <v>27</v>
      </c>
      <c r="H1" s="2" t="s">
        <v>13</v>
      </c>
    </row>
    <row r="2" spans="1:9" x14ac:dyDescent="0.25">
      <c r="A2" t="s">
        <v>0</v>
      </c>
      <c r="B2" t="s">
        <v>16</v>
      </c>
      <c r="C2">
        <v>16.940000000000001</v>
      </c>
      <c r="D2">
        <v>2</v>
      </c>
      <c r="E2">
        <f>C2*D2</f>
        <v>33.880000000000003</v>
      </c>
      <c r="F2">
        <f>C2*D2</f>
        <v>33.880000000000003</v>
      </c>
      <c r="G2">
        <v>3</v>
      </c>
      <c r="H2" s="1" t="s">
        <v>14</v>
      </c>
    </row>
    <row r="3" spans="1:9" x14ac:dyDescent="0.25">
      <c r="A3" t="s">
        <v>1</v>
      </c>
      <c r="B3" t="s">
        <v>20</v>
      </c>
      <c r="C3">
        <v>19.989999999999998</v>
      </c>
      <c r="D3">
        <v>1</v>
      </c>
      <c r="E3">
        <f t="shared" ref="E3:E6" si="0">C3*D3</f>
        <v>19.989999999999998</v>
      </c>
      <c r="F3">
        <f t="shared" ref="F3:F20" si="1">C3</f>
        <v>19.989999999999998</v>
      </c>
      <c r="G3">
        <v>3</v>
      </c>
      <c r="H3" s="1" t="s">
        <v>17</v>
      </c>
    </row>
    <row r="4" spans="1:9" x14ac:dyDescent="0.25">
      <c r="A4" t="s">
        <v>3</v>
      </c>
      <c r="B4" t="s">
        <v>21</v>
      </c>
      <c r="C4">
        <v>12</v>
      </c>
      <c r="D4">
        <v>0.5</v>
      </c>
      <c r="E4">
        <f t="shared" si="0"/>
        <v>6</v>
      </c>
      <c r="F4">
        <f t="shared" si="1"/>
        <v>12</v>
      </c>
      <c r="G4">
        <v>4</v>
      </c>
      <c r="H4" s="1" t="s">
        <v>24</v>
      </c>
    </row>
    <row r="5" spans="1:9" x14ac:dyDescent="0.25">
      <c r="A5" t="s">
        <v>4</v>
      </c>
      <c r="B5" t="s">
        <v>81</v>
      </c>
      <c r="C5">
        <v>8.99</v>
      </c>
      <c r="D5">
        <v>0.2</v>
      </c>
      <c r="E5">
        <f t="shared" si="0"/>
        <v>1.798</v>
      </c>
      <c r="F5">
        <f t="shared" si="1"/>
        <v>8.99</v>
      </c>
      <c r="G5">
        <v>3</v>
      </c>
      <c r="H5" s="1" t="s">
        <v>80</v>
      </c>
      <c r="I5" s="1" t="s">
        <v>90</v>
      </c>
    </row>
    <row r="6" spans="1:9" x14ac:dyDescent="0.25">
      <c r="A6" t="s">
        <v>84</v>
      </c>
      <c r="B6" t="s">
        <v>85</v>
      </c>
      <c r="C6">
        <v>2.02</v>
      </c>
      <c r="D6">
        <v>0.05</v>
      </c>
      <c r="E6">
        <f t="shared" si="0"/>
        <v>0.10100000000000001</v>
      </c>
      <c r="F6">
        <v>2.02</v>
      </c>
      <c r="G6">
        <v>60</v>
      </c>
      <c r="H6" s="1" t="s">
        <v>86</v>
      </c>
    </row>
    <row r="7" spans="1:9" x14ac:dyDescent="0.25">
      <c r="A7" s="2" t="s">
        <v>49</v>
      </c>
      <c r="E7" s="2">
        <f>SUM(E2:E6)</f>
        <v>61.769000000000005</v>
      </c>
    </row>
    <row r="8" spans="1:9" x14ac:dyDescent="0.25">
      <c r="A8" s="2" t="s">
        <v>50</v>
      </c>
      <c r="F8" s="2">
        <f>SUM(F2:F6)</f>
        <v>76.88</v>
      </c>
    </row>
    <row r="11" spans="1:9" x14ac:dyDescent="0.25">
      <c r="A11" s="2" t="s">
        <v>5</v>
      </c>
    </row>
    <row r="12" spans="1:9" x14ac:dyDescent="0.25">
      <c r="A12" t="s">
        <v>6</v>
      </c>
      <c r="B12" t="s">
        <v>26</v>
      </c>
      <c r="C12">
        <v>8.16</v>
      </c>
      <c r="D12">
        <v>2</v>
      </c>
      <c r="E12">
        <f t="shared" ref="E12:E20" si="2">C12*D12</f>
        <v>16.32</v>
      </c>
      <c r="F12">
        <f>C12*D12</f>
        <v>16.32</v>
      </c>
      <c r="G12">
        <v>30</v>
      </c>
      <c r="H12" s="1" t="s">
        <v>29</v>
      </c>
    </row>
    <row r="13" spans="1:9" x14ac:dyDescent="0.25">
      <c r="A13" t="s">
        <v>7</v>
      </c>
      <c r="B13" t="s">
        <v>30</v>
      </c>
      <c r="C13">
        <v>13.79</v>
      </c>
      <c r="D13">
        <v>0.2</v>
      </c>
      <c r="E13">
        <f t="shared" si="2"/>
        <v>2.758</v>
      </c>
      <c r="F13">
        <f t="shared" si="1"/>
        <v>13.79</v>
      </c>
      <c r="G13">
        <v>3</v>
      </c>
      <c r="H13" s="1" t="s">
        <v>28</v>
      </c>
    </row>
    <row r="14" spans="1:9" x14ac:dyDescent="0.25">
      <c r="A14" t="s">
        <v>8</v>
      </c>
      <c r="B14" t="s">
        <v>32</v>
      </c>
      <c r="C14">
        <v>14.96</v>
      </c>
      <c r="D14">
        <v>1</v>
      </c>
      <c r="E14">
        <f t="shared" si="2"/>
        <v>14.96</v>
      </c>
      <c r="F14">
        <f t="shared" si="1"/>
        <v>14.96</v>
      </c>
      <c r="G14">
        <v>3</v>
      </c>
      <c r="H14" s="1" t="s">
        <v>31</v>
      </c>
    </row>
    <row r="15" spans="1:9" x14ac:dyDescent="0.25">
      <c r="A15" t="s">
        <v>9</v>
      </c>
      <c r="B15" t="s">
        <v>33</v>
      </c>
      <c r="C15">
        <v>11.99</v>
      </c>
      <c r="D15">
        <f>1/6</f>
        <v>0.16666666666666666</v>
      </c>
      <c r="E15">
        <f t="shared" si="2"/>
        <v>1.9983333333333333</v>
      </c>
      <c r="F15">
        <f t="shared" si="1"/>
        <v>11.99</v>
      </c>
      <c r="G15">
        <v>4</v>
      </c>
      <c r="H15" s="1" t="s">
        <v>34</v>
      </c>
    </row>
    <row r="16" spans="1:9" x14ac:dyDescent="0.25">
      <c r="A16" t="s">
        <v>39</v>
      </c>
      <c r="B16" t="s">
        <v>93</v>
      </c>
      <c r="C16">
        <v>2.2799999999999998</v>
      </c>
      <c r="D16">
        <f>6/50</f>
        <v>0.12</v>
      </c>
      <c r="E16">
        <f t="shared" si="2"/>
        <v>0.27359999999999995</v>
      </c>
      <c r="F16">
        <f t="shared" si="1"/>
        <v>2.2799999999999998</v>
      </c>
      <c r="G16">
        <v>5</v>
      </c>
      <c r="H16" s="1" t="s">
        <v>91</v>
      </c>
    </row>
    <row r="17" spans="1:8" x14ac:dyDescent="0.25">
      <c r="A17" t="s">
        <v>92</v>
      </c>
      <c r="B17" t="s">
        <v>44</v>
      </c>
      <c r="C17">
        <v>15</v>
      </c>
      <c r="D17">
        <v>1</v>
      </c>
      <c r="E17">
        <f t="shared" si="2"/>
        <v>15</v>
      </c>
      <c r="F17">
        <f t="shared" si="1"/>
        <v>15</v>
      </c>
      <c r="G17" t="s">
        <v>55</v>
      </c>
    </row>
    <row r="18" spans="1:8" x14ac:dyDescent="0.25">
      <c r="A18" t="s">
        <v>19</v>
      </c>
      <c r="B18" t="s">
        <v>82</v>
      </c>
      <c r="C18">
        <v>16.989999999999998</v>
      </c>
      <c r="D18">
        <v>1</v>
      </c>
      <c r="E18">
        <f t="shared" si="2"/>
        <v>16.989999999999998</v>
      </c>
      <c r="F18">
        <f t="shared" si="1"/>
        <v>16.989999999999998</v>
      </c>
      <c r="G18">
        <v>15</v>
      </c>
      <c r="H18" s="1" t="s">
        <v>83</v>
      </c>
    </row>
    <row r="19" spans="1:8" x14ac:dyDescent="0.25">
      <c r="A19" t="s">
        <v>42</v>
      </c>
      <c r="B19" t="s">
        <v>45</v>
      </c>
      <c r="C19">
        <v>11.99</v>
      </c>
      <c r="D19">
        <v>1</v>
      </c>
      <c r="E19">
        <f t="shared" si="2"/>
        <v>11.99</v>
      </c>
      <c r="F19">
        <f t="shared" si="1"/>
        <v>11.99</v>
      </c>
      <c r="G19">
        <v>4</v>
      </c>
      <c r="H19" s="1" t="s">
        <v>47</v>
      </c>
    </row>
    <row r="20" spans="1:8" x14ac:dyDescent="0.25">
      <c r="A20" t="s">
        <v>87</v>
      </c>
      <c r="B20" t="s">
        <v>88</v>
      </c>
      <c r="C20">
        <v>2.4500000000000002</v>
      </c>
      <c r="D20">
        <f>1/10</f>
        <v>0.1</v>
      </c>
      <c r="E20">
        <f t="shared" si="2"/>
        <v>0.24500000000000002</v>
      </c>
      <c r="F20">
        <f t="shared" si="1"/>
        <v>2.4500000000000002</v>
      </c>
      <c r="G20">
        <v>3</v>
      </c>
      <c r="H20" s="1" t="s">
        <v>89</v>
      </c>
    </row>
    <row r="21" spans="1:8" x14ac:dyDescent="0.25">
      <c r="A21" s="2" t="s">
        <v>51</v>
      </c>
      <c r="E21" s="2">
        <f>SUM(E12:E20)</f>
        <v>80.534933333333328</v>
      </c>
    </row>
    <row r="22" spans="1:8" x14ac:dyDescent="0.25">
      <c r="A22" s="2" t="s">
        <v>52</v>
      </c>
      <c r="F22" s="2">
        <f>SUM(F12:F20)</f>
        <v>105.77</v>
      </c>
    </row>
    <row r="25" spans="1:8" x14ac:dyDescent="0.25">
      <c r="A25" s="2" t="s">
        <v>58</v>
      </c>
      <c r="E25" s="2">
        <f>E21+E7</f>
        <v>142.30393333333333</v>
      </c>
    </row>
    <row r="26" spans="1:8" x14ac:dyDescent="0.25">
      <c r="A26" s="2" t="s">
        <v>59</v>
      </c>
      <c r="F26" s="2">
        <f>F22+F8</f>
        <v>182.64999999999998</v>
      </c>
    </row>
  </sheetData>
  <hyperlinks>
    <hyperlink ref="H2" r:id="rId1" xr:uid="{C812701D-C213-4952-9C2B-CD03B7C8EB0D}"/>
    <hyperlink ref="H3" r:id="rId2" xr:uid="{CA4A9EB7-3B1B-4287-83E1-D57C043F105B}"/>
    <hyperlink ref="H4" r:id="rId3" xr:uid="{C7B7BB5E-F59D-46DB-A6A9-0DD7C48B7A3D}"/>
    <hyperlink ref="H5" r:id="rId4" xr:uid="{F34DF366-9E7A-4D2C-BFFB-4FF24D85B6B4}"/>
    <hyperlink ref="H13" r:id="rId5" xr:uid="{28332A92-DF67-4C52-8DDD-CAA34B8398AB}"/>
    <hyperlink ref="H12" r:id="rId6" xr:uid="{E7A24270-629F-4D03-80A7-6094D7F71E15}"/>
    <hyperlink ref="H15" r:id="rId7" xr:uid="{CC7059A0-C440-4679-8766-2880E607E937}"/>
    <hyperlink ref="H19" r:id="rId8" xr:uid="{68507ED3-94B3-4704-8B0B-BAC7CEC32DE3}"/>
    <hyperlink ref="H18" r:id="rId9" xr:uid="{A6A89169-532C-4F9D-BA5E-EFCA9151D51D}"/>
    <hyperlink ref="I5" r:id="rId10" xr:uid="{921FA0CB-0987-4943-BC9E-CFFB211868AB}"/>
  </hyperlinks>
  <pageMargins left="0.7" right="0.7" top="0.75" bottom="0.75" header="0.3" footer="0.3"/>
  <pageSetup paperSize="9" orientation="portrait" horizontalDpi="4294967295" verticalDpi="4294967295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1430-9494-4C0F-968A-3BA6524DD681}">
  <dimension ref="A1:H27"/>
  <sheetViews>
    <sheetView workbookViewId="0">
      <selection activeCell="F31" sqref="F31"/>
    </sheetView>
  </sheetViews>
  <sheetFormatPr baseColWidth="10" defaultRowHeight="15" x14ac:dyDescent="0.25"/>
  <cols>
    <col min="1" max="1" width="37" customWidth="1"/>
    <col min="2" max="2" width="65.42578125" customWidth="1"/>
    <col min="3" max="3" width="15" customWidth="1"/>
    <col min="4" max="4" width="13.42578125" customWidth="1"/>
    <col min="6" max="6" width="16.7109375" customWidth="1"/>
    <col min="7" max="7" width="17.42578125" customWidth="1"/>
    <col min="8" max="8" width="28.42578125" customWidth="1"/>
  </cols>
  <sheetData>
    <row r="1" spans="1:8" x14ac:dyDescent="0.25">
      <c r="A1" s="2" t="s">
        <v>2</v>
      </c>
      <c r="B1" s="2" t="s">
        <v>15</v>
      </c>
      <c r="C1" s="2" t="s">
        <v>11</v>
      </c>
      <c r="D1" s="2" t="s">
        <v>22</v>
      </c>
      <c r="E1" s="2" t="s">
        <v>12</v>
      </c>
      <c r="F1" s="2" t="s">
        <v>53</v>
      </c>
      <c r="G1" s="2" t="s">
        <v>27</v>
      </c>
      <c r="H1" s="2" t="s">
        <v>13</v>
      </c>
    </row>
    <row r="2" spans="1:8" x14ac:dyDescent="0.25">
      <c r="A2" t="s">
        <v>0</v>
      </c>
      <c r="B2" t="s">
        <v>16</v>
      </c>
      <c r="C2">
        <v>16.940000000000001</v>
      </c>
      <c r="D2">
        <v>2</v>
      </c>
      <c r="E2">
        <f>C2*D2</f>
        <v>33.880000000000003</v>
      </c>
      <c r="F2">
        <f>C2*D2</f>
        <v>33.880000000000003</v>
      </c>
      <c r="G2">
        <v>3</v>
      </c>
      <c r="H2" s="1" t="s">
        <v>14</v>
      </c>
    </row>
    <row r="3" spans="1:8" x14ac:dyDescent="0.25">
      <c r="A3" t="s">
        <v>1</v>
      </c>
      <c r="B3" t="s">
        <v>20</v>
      </c>
      <c r="C3">
        <v>19.989999999999998</v>
      </c>
      <c r="D3">
        <v>1</v>
      </c>
      <c r="E3">
        <f t="shared" ref="E3:E5" si="0">C3*D3</f>
        <v>19.989999999999998</v>
      </c>
      <c r="F3">
        <f t="shared" ref="F3:F21" si="1">C3</f>
        <v>19.989999999999998</v>
      </c>
      <c r="G3">
        <v>3</v>
      </c>
      <c r="H3" s="1" t="s">
        <v>17</v>
      </c>
    </row>
    <row r="4" spans="1:8" x14ac:dyDescent="0.25">
      <c r="A4" t="s">
        <v>3</v>
      </c>
      <c r="B4" t="s">
        <v>21</v>
      </c>
      <c r="C4">
        <v>12</v>
      </c>
      <c r="D4">
        <v>0.5</v>
      </c>
      <c r="E4">
        <f t="shared" si="0"/>
        <v>6</v>
      </c>
      <c r="F4">
        <f t="shared" si="1"/>
        <v>12</v>
      </c>
      <c r="G4">
        <v>4</v>
      </c>
      <c r="H4" s="1" t="s">
        <v>24</v>
      </c>
    </row>
    <row r="5" spans="1:8" x14ac:dyDescent="0.25">
      <c r="A5" t="s">
        <v>4</v>
      </c>
      <c r="B5" t="s">
        <v>23</v>
      </c>
      <c r="C5">
        <v>21.39</v>
      </c>
      <c r="D5">
        <v>0.2</v>
      </c>
      <c r="E5">
        <f t="shared" si="0"/>
        <v>4.2780000000000005</v>
      </c>
      <c r="F5">
        <f t="shared" si="1"/>
        <v>21.39</v>
      </c>
      <c r="G5">
        <v>3</v>
      </c>
      <c r="H5" s="1" t="s">
        <v>25</v>
      </c>
    </row>
    <row r="6" spans="1:8" x14ac:dyDescent="0.25">
      <c r="A6" s="2" t="s">
        <v>49</v>
      </c>
      <c r="E6">
        <f>SUM(E2:E5)</f>
        <v>64.14800000000001</v>
      </c>
    </row>
    <row r="7" spans="1:8" x14ac:dyDescent="0.25">
      <c r="A7" s="2" t="s">
        <v>50</v>
      </c>
      <c r="F7">
        <f>SUM(F2:F5)</f>
        <v>87.26</v>
      </c>
    </row>
    <row r="10" spans="1:8" x14ac:dyDescent="0.25">
      <c r="A10" s="2" t="s">
        <v>5</v>
      </c>
    </row>
    <row r="11" spans="1:8" x14ac:dyDescent="0.25">
      <c r="A11" t="s">
        <v>6</v>
      </c>
      <c r="B11" t="s">
        <v>26</v>
      </c>
      <c r="C11">
        <v>8.16</v>
      </c>
      <c r="D11">
        <v>2</v>
      </c>
      <c r="E11">
        <f t="shared" ref="E11:E21" si="2">C11*D11</f>
        <v>16.32</v>
      </c>
      <c r="F11">
        <f>C11*D11</f>
        <v>16.32</v>
      </c>
      <c r="G11">
        <v>30</v>
      </c>
      <c r="H11" s="1" t="s">
        <v>29</v>
      </c>
    </row>
    <row r="12" spans="1:8" x14ac:dyDescent="0.25">
      <c r="A12" t="s">
        <v>7</v>
      </c>
      <c r="B12" t="s">
        <v>30</v>
      </c>
      <c r="C12">
        <v>13.79</v>
      </c>
      <c r="D12">
        <v>0.2</v>
      </c>
      <c r="E12">
        <f t="shared" si="2"/>
        <v>2.758</v>
      </c>
      <c r="F12">
        <f t="shared" si="1"/>
        <v>13.79</v>
      </c>
      <c r="G12">
        <v>3</v>
      </c>
      <c r="H12" s="1" t="s">
        <v>28</v>
      </c>
    </row>
    <row r="13" spans="1:8" x14ac:dyDescent="0.25">
      <c r="A13" t="s">
        <v>8</v>
      </c>
      <c r="B13" t="s">
        <v>32</v>
      </c>
      <c r="C13">
        <v>14.96</v>
      </c>
      <c r="D13">
        <v>1</v>
      </c>
      <c r="E13">
        <f t="shared" si="2"/>
        <v>14.96</v>
      </c>
      <c r="F13">
        <f t="shared" si="1"/>
        <v>14.96</v>
      </c>
      <c r="G13">
        <v>3</v>
      </c>
      <c r="H13" s="1" t="s">
        <v>31</v>
      </c>
    </row>
    <row r="14" spans="1:8" x14ac:dyDescent="0.25">
      <c r="A14" t="s">
        <v>9</v>
      </c>
      <c r="B14" t="s">
        <v>33</v>
      </c>
      <c r="C14">
        <v>11.99</v>
      </c>
      <c r="D14">
        <f>1/6</f>
        <v>0.16666666666666666</v>
      </c>
      <c r="E14">
        <f t="shared" si="2"/>
        <v>1.9983333333333333</v>
      </c>
      <c r="F14">
        <f t="shared" si="1"/>
        <v>11.99</v>
      </c>
      <c r="G14">
        <v>4</v>
      </c>
      <c r="H14" s="1" t="s">
        <v>34</v>
      </c>
    </row>
    <row r="15" spans="1:8" x14ac:dyDescent="0.25">
      <c r="A15" t="s">
        <v>10</v>
      </c>
      <c r="B15" t="s">
        <v>36</v>
      </c>
      <c r="C15">
        <v>15.99</v>
      </c>
      <c r="D15">
        <v>0.2</v>
      </c>
      <c r="E15">
        <f t="shared" si="2"/>
        <v>3.1980000000000004</v>
      </c>
      <c r="F15">
        <f t="shared" si="1"/>
        <v>15.99</v>
      </c>
      <c r="G15">
        <v>3</v>
      </c>
      <c r="H15" s="1" t="s">
        <v>35</v>
      </c>
    </row>
    <row r="16" spans="1:8" x14ac:dyDescent="0.25">
      <c r="A16" t="s">
        <v>39</v>
      </c>
      <c r="B16" t="s">
        <v>38</v>
      </c>
      <c r="C16">
        <v>9.99</v>
      </c>
      <c r="D16">
        <f>0.005*6</f>
        <v>0.03</v>
      </c>
      <c r="E16">
        <f t="shared" si="2"/>
        <v>0.29970000000000002</v>
      </c>
      <c r="F16">
        <f t="shared" si="1"/>
        <v>9.99</v>
      </c>
      <c r="G16">
        <v>5</v>
      </c>
      <c r="H16" s="1" t="s">
        <v>37</v>
      </c>
    </row>
    <row r="17" spans="1:8" x14ac:dyDescent="0.25">
      <c r="A17" t="s">
        <v>18</v>
      </c>
      <c r="B17" t="s">
        <v>40</v>
      </c>
      <c r="C17">
        <v>3.7</v>
      </c>
      <c r="D17">
        <f>6/50</f>
        <v>0.12</v>
      </c>
      <c r="E17">
        <f t="shared" si="2"/>
        <v>0.44400000000000001</v>
      </c>
      <c r="F17">
        <f t="shared" si="1"/>
        <v>3.7</v>
      </c>
      <c r="G17">
        <v>5</v>
      </c>
      <c r="H17" s="1" t="s">
        <v>54</v>
      </c>
    </row>
    <row r="18" spans="1:8" x14ac:dyDescent="0.25">
      <c r="A18" t="s">
        <v>41</v>
      </c>
      <c r="B18" t="s">
        <v>44</v>
      </c>
      <c r="C18">
        <v>15</v>
      </c>
      <c r="D18">
        <v>1</v>
      </c>
      <c r="E18">
        <f t="shared" si="2"/>
        <v>15</v>
      </c>
      <c r="F18">
        <f t="shared" si="1"/>
        <v>15</v>
      </c>
      <c r="G18" t="s">
        <v>55</v>
      </c>
    </row>
    <row r="19" spans="1:8" x14ac:dyDescent="0.25">
      <c r="A19" t="s">
        <v>19</v>
      </c>
      <c r="B19" t="s">
        <v>57</v>
      </c>
      <c r="C19">
        <v>15.99</v>
      </c>
      <c r="D19">
        <v>1</v>
      </c>
      <c r="E19">
        <f t="shared" si="2"/>
        <v>15.99</v>
      </c>
      <c r="F19">
        <f t="shared" si="1"/>
        <v>15.99</v>
      </c>
      <c r="G19">
        <v>15</v>
      </c>
      <c r="H19" s="1" t="s">
        <v>56</v>
      </c>
    </row>
    <row r="20" spans="1:8" x14ac:dyDescent="0.25">
      <c r="A20" t="s">
        <v>42</v>
      </c>
      <c r="B20" t="s">
        <v>45</v>
      </c>
      <c r="C20">
        <v>11.99</v>
      </c>
      <c r="D20">
        <v>0</v>
      </c>
      <c r="E20">
        <f t="shared" si="2"/>
        <v>0</v>
      </c>
      <c r="F20">
        <v>0</v>
      </c>
      <c r="G20">
        <v>4</v>
      </c>
      <c r="H20" s="1" t="s">
        <v>47</v>
      </c>
    </row>
    <row r="21" spans="1:8" x14ac:dyDescent="0.25">
      <c r="A21" t="s">
        <v>43</v>
      </c>
      <c r="B21" t="s">
        <v>46</v>
      </c>
      <c r="C21">
        <v>16.29</v>
      </c>
      <c r="D21">
        <f>1/5</f>
        <v>0.2</v>
      </c>
      <c r="E21">
        <f t="shared" si="2"/>
        <v>3.258</v>
      </c>
      <c r="F21">
        <f t="shared" si="1"/>
        <v>16.29</v>
      </c>
      <c r="G21">
        <v>3</v>
      </c>
      <c r="H21" s="1" t="s">
        <v>48</v>
      </c>
    </row>
    <row r="22" spans="1:8" x14ac:dyDescent="0.25">
      <c r="A22" s="2" t="s">
        <v>51</v>
      </c>
      <c r="E22">
        <f>SUM(E11:E21)</f>
        <v>74.226033333333334</v>
      </c>
    </row>
    <row r="23" spans="1:8" x14ac:dyDescent="0.25">
      <c r="A23" s="2" t="s">
        <v>52</v>
      </c>
      <c r="F23">
        <f>SUM(F11:F21)</f>
        <v>134.01999999999998</v>
      </c>
    </row>
    <row r="26" spans="1:8" x14ac:dyDescent="0.25">
      <c r="A26" s="2" t="s">
        <v>58</v>
      </c>
      <c r="E26">
        <f>E22+E6</f>
        <v>138.37403333333333</v>
      </c>
    </row>
    <row r="27" spans="1:8" x14ac:dyDescent="0.25">
      <c r="A27" s="2" t="s">
        <v>59</v>
      </c>
      <c r="F27">
        <f>F23+F7</f>
        <v>221.27999999999997</v>
      </c>
    </row>
  </sheetData>
  <hyperlinks>
    <hyperlink ref="H2" r:id="rId1" xr:uid="{0713AB78-0B6B-4EE6-9DA4-DE14F5B5E3C0}"/>
    <hyperlink ref="H3" r:id="rId2" xr:uid="{82557E38-ADC9-4CBB-BE96-0EEABF62F1D4}"/>
    <hyperlink ref="H4" r:id="rId3" xr:uid="{84B6DE5B-8302-4C62-8945-C412C0E0D846}"/>
    <hyperlink ref="H5" r:id="rId4" xr:uid="{182F61F5-2DAF-440B-9D22-BBBFB7B318FD}"/>
    <hyperlink ref="H12" r:id="rId5" xr:uid="{D704DC0E-568A-4506-87C7-4959094E8CB7}"/>
    <hyperlink ref="H11" r:id="rId6" xr:uid="{3946D3C8-4AA3-4066-AC1E-10B4653377DE}"/>
    <hyperlink ref="H14" r:id="rId7" xr:uid="{F533A1E3-D8B2-4E77-8F0C-E1EBC9E667BB}"/>
    <hyperlink ref="H15" r:id="rId8" xr:uid="{EB3E9BE9-D2B2-4D85-8E76-A0A88521E318}"/>
    <hyperlink ref="H16" r:id="rId9" xr:uid="{7BD89086-71ED-4033-ABAF-FAA509ABFABA}"/>
    <hyperlink ref="H20" r:id="rId10" xr:uid="{33DB5963-463D-4F92-82CE-08FA54468EB9}"/>
    <hyperlink ref="H21" r:id="rId11" xr:uid="{CF8B5DD3-D1B7-4820-A4DF-4132E8F8EF47}"/>
    <hyperlink ref="H17" r:id="rId12" xr:uid="{299E0936-8606-4084-A15E-E1EE137CECFC}"/>
    <hyperlink ref="H19" r:id="rId13" xr:uid="{451AED58-5576-43E1-92A8-DD0F274166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4BB0-D400-4C97-87A0-6107A31F5AB7}">
  <dimension ref="A1:H27"/>
  <sheetViews>
    <sheetView workbookViewId="0">
      <selection activeCell="G24" sqref="G24"/>
    </sheetView>
  </sheetViews>
  <sheetFormatPr baseColWidth="10" defaultRowHeight="15" x14ac:dyDescent="0.25"/>
  <cols>
    <col min="1" max="1" width="37" customWidth="1"/>
    <col min="2" max="2" width="65.42578125" customWidth="1"/>
    <col min="3" max="3" width="15" customWidth="1"/>
    <col min="4" max="4" width="13.42578125" customWidth="1"/>
    <col min="6" max="6" width="16.7109375" customWidth="1"/>
    <col min="7" max="7" width="17.42578125" customWidth="1"/>
    <col min="8" max="8" width="28.42578125" customWidth="1"/>
  </cols>
  <sheetData>
    <row r="1" spans="1:8" x14ac:dyDescent="0.25">
      <c r="A1" s="2" t="s">
        <v>2</v>
      </c>
      <c r="B1" s="2" t="s">
        <v>15</v>
      </c>
      <c r="C1" s="2" t="s">
        <v>11</v>
      </c>
      <c r="D1" s="2" t="s">
        <v>22</v>
      </c>
      <c r="E1" s="2" t="s">
        <v>12</v>
      </c>
      <c r="F1" s="2" t="s">
        <v>53</v>
      </c>
      <c r="G1" s="2" t="s">
        <v>27</v>
      </c>
      <c r="H1" s="2" t="s">
        <v>13</v>
      </c>
    </row>
    <row r="2" spans="1:8" x14ac:dyDescent="0.25">
      <c r="A2" t="s">
        <v>0</v>
      </c>
      <c r="B2" t="s">
        <v>16</v>
      </c>
      <c r="C2">
        <v>16.940000000000001</v>
      </c>
      <c r="D2">
        <v>2</v>
      </c>
      <c r="E2">
        <f>C2*D2</f>
        <v>33.880000000000003</v>
      </c>
      <c r="F2">
        <f>C2*D2</f>
        <v>33.880000000000003</v>
      </c>
      <c r="G2">
        <v>3</v>
      </c>
      <c r="H2" s="1" t="s">
        <v>14</v>
      </c>
    </row>
    <row r="3" spans="1:8" x14ac:dyDescent="0.25">
      <c r="A3" t="s">
        <v>1</v>
      </c>
      <c r="B3" t="s">
        <v>20</v>
      </c>
      <c r="C3">
        <v>19.989999999999998</v>
      </c>
      <c r="D3">
        <v>1</v>
      </c>
      <c r="E3">
        <f t="shared" ref="E3:E5" si="0">C3*D3</f>
        <v>19.989999999999998</v>
      </c>
      <c r="F3">
        <f t="shared" ref="F3:F18" si="1">C3</f>
        <v>19.989999999999998</v>
      </c>
      <c r="G3">
        <v>3</v>
      </c>
      <c r="H3" s="1" t="s">
        <v>17</v>
      </c>
    </row>
    <row r="4" spans="1:8" x14ac:dyDescent="0.25">
      <c r="A4" t="s">
        <v>3</v>
      </c>
      <c r="B4" t="s">
        <v>21</v>
      </c>
      <c r="C4">
        <v>12</v>
      </c>
      <c r="D4">
        <v>0.5</v>
      </c>
      <c r="E4">
        <f t="shared" si="0"/>
        <v>6</v>
      </c>
      <c r="F4">
        <f t="shared" si="1"/>
        <v>12</v>
      </c>
      <c r="G4">
        <v>4</v>
      </c>
      <c r="H4" s="1" t="s">
        <v>24</v>
      </c>
    </row>
    <row r="5" spans="1:8" x14ac:dyDescent="0.25">
      <c r="A5" t="s">
        <v>4</v>
      </c>
      <c r="B5" t="s">
        <v>23</v>
      </c>
      <c r="C5">
        <v>21.39</v>
      </c>
      <c r="D5">
        <v>0.2</v>
      </c>
      <c r="E5">
        <f t="shared" si="0"/>
        <v>4.2780000000000005</v>
      </c>
      <c r="F5">
        <f t="shared" si="1"/>
        <v>21.39</v>
      </c>
      <c r="G5">
        <v>3</v>
      </c>
      <c r="H5" s="1" t="s">
        <v>25</v>
      </c>
    </row>
    <row r="6" spans="1:8" x14ac:dyDescent="0.25">
      <c r="A6" s="2" t="s">
        <v>49</v>
      </c>
      <c r="E6">
        <f>SUM(E2:E5)</f>
        <v>64.14800000000001</v>
      </c>
    </row>
    <row r="7" spans="1:8" x14ac:dyDescent="0.25">
      <c r="A7" s="2" t="s">
        <v>50</v>
      </c>
      <c r="F7">
        <f>SUM(F2:F5)</f>
        <v>87.26</v>
      </c>
    </row>
    <row r="10" spans="1:8" x14ac:dyDescent="0.25">
      <c r="A10" s="2" t="s">
        <v>5</v>
      </c>
    </row>
    <row r="11" spans="1:8" x14ac:dyDescent="0.25">
      <c r="A11" t="s">
        <v>6</v>
      </c>
      <c r="B11" t="s">
        <v>26</v>
      </c>
      <c r="C11">
        <v>8.16</v>
      </c>
      <c r="D11">
        <v>2</v>
      </c>
      <c r="E11">
        <f t="shared" ref="E11:E21" si="2">C11*D11</f>
        <v>16.32</v>
      </c>
      <c r="F11">
        <f>C11*D11</f>
        <v>16.32</v>
      </c>
      <c r="G11">
        <v>30</v>
      </c>
      <c r="H11" s="1" t="s">
        <v>29</v>
      </c>
    </row>
    <row r="12" spans="1:8" x14ac:dyDescent="0.25">
      <c r="A12" t="s">
        <v>7</v>
      </c>
      <c r="B12" t="s">
        <v>30</v>
      </c>
      <c r="C12">
        <v>13.79</v>
      </c>
      <c r="D12">
        <v>0.2</v>
      </c>
      <c r="E12">
        <f t="shared" si="2"/>
        <v>2.758</v>
      </c>
      <c r="F12">
        <f t="shared" si="1"/>
        <v>13.79</v>
      </c>
      <c r="G12">
        <v>3</v>
      </c>
      <c r="H12" s="1" t="s">
        <v>28</v>
      </c>
    </row>
    <row r="13" spans="1:8" x14ac:dyDescent="0.25">
      <c r="A13" t="s">
        <v>8</v>
      </c>
      <c r="B13" t="s">
        <v>32</v>
      </c>
      <c r="C13">
        <v>14.96</v>
      </c>
      <c r="D13">
        <v>1</v>
      </c>
      <c r="E13">
        <f t="shared" si="2"/>
        <v>14.96</v>
      </c>
      <c r="F13">
        <f t="shared" si="1"/>
        <v>14.96</v>
      </c>
      <c r="G13">
        <v>3</v>
      </c>
      <c r="H13" s="1" t="s">
        <v>31</v>
      </c>
    </row>
    <row r="14" spans="1:8" x14ac:dyDescent="0.25">
      <c r="A14" t="s">
        <v>9</v>
      </c>
      <c r="B14" t="s">
        <v>33</v>
      </c>
      <c r="C14">
        <v>11.99</v>
      </c>
      <c r="D14">
        <f>1/6</f>
        <v>0.16666666666666666</v>
      </c>
      <c r="E14">
        <f t="shared" si="2"/>
        <v>1.9983333333333333</v>
      </c>
      <c r="F14">
        <f t="shared" si="1"/>
        <v>11.99</v>
      </c>
      <c r="G14">
        <v>4</v>
      </c>
      <c r="H14" s="1" t="s">
        <v>34</v>
      </c>
    </row>
    <row r="15" spans="1:8" x14ac:dyDescent="0.25">
      <c r="A15" t="s">
        <v>10</v>
      </c>
      <c r="B15" t="s">
        <v>36</v>
      </c>
      <c r="C15">
        <v>15.99</v>
      </c>
      <c r="D15">
        <v>0.2</v>
      </c>
      <c r="E15">
        <f t="shared" si="2"/>
        <v>3.1980000000000004</v>
      </c>
      <c r="F15">
        <f t="shared" si="1"/>
        <v>15.99</v>
      </c>
      <c r="G15">
        <v>3</v>
      </c>
      <c r="H15" s="1" t="s">
        <v>35</v>
      </c>
    </row>
    <row r="16" spans="1:8" x14ac:dyDescent="0.25">
      <c r="A16" t="s">
        <v>39</v>
      </c>
      <c r="B16" t="s">
        <v>38</v>
      </c>
      <c r="C16">
        <v>9.99</v>
      </c>
      <c r="D16">
        <f>0.005*6</f>
        <v>0.03</v>
      </c>
      <c r="E16">
        <f t="shared" si="2"/>
        <v>0.29970000000000002</v>
      </c>
      <c r="F16">
        <f t="shared" si="1"/>
        <v>9.99</v>
      </c>
      <c r="G16">
        <v>5</v>
      </c>
      <c r="H16" s="1" t="s">
        <v>37</v>
      </c>
    </row>
    <row r="17" spans="1:8" x14ac:dyDescent="0.25">
      <c r="A17" t="s">
        <v>18</v>
      </c>
      <c r="B17" t="s">
        <v>40</v>
      </c>
      <c r="C17">
        <v>3.7</v>
      </c>
      <c r="D17">
        <f>6/50</f>
        <v>0.12</v>
      </c>
      <c r="E17">
        <f t="shared" si="2"/>
        <v>0.44400000000000001</v>
      </c>
      <c r="F17">
        <f t="shared" si="1"/>
        <v>3.7</v>
      </c>
      <c r="G17">
        <v>5</v>
      </c>
      <c r="H17" s="1" t="s">
        <v>54</v>
      </c>
    </row>
    <row r="18" spans="1:8" x14ac:dyDescent="0.25">
      <c r="A18" t="s">
        <v>41</v>
      </c>
      <c r="B18" t="s">
        <v>44</v>
      </c>
      <c r="C18">
        <v>15</v>
      </c>
      <c r="D18">
        <v>1</v>
      </c>
      <c r="E18">
        <f t="shared" si="2"/>
        <v>15</v>
      </c>
      <c r="F18">
        <f t="shared" si="1"/>
        <v>15</v>
      </c>
      <c r="G18" t="s">
        <v>55</v>
      </c>
    </row>
    <row r="19" spans="1:8" x14ac:dyDescent="0.25">
      <c r="A19" t="s">
        <v>19</v>
      </c>
      <c r="B19" t="s">
        <v>57</v>
      </c>
      <c r="C19">
        <v>15.99</v>
      </c>
      <c r="D19">
        <v>0</v>
      </c>
      <c r="E19">
        <f t="shared" si="2"/>
        <v>0</v>
      </c>
      <c r="F19">
        <v>0</v>
      </c>
      <c r="G19">
        <v>15</v>
      </c>
      <c r="H19" s="1" t="s">
        <v>56</v>
      </c>
    </row>
    <row r="20" spans="1:8" x14ac:dyDescent="0.25">
      <c r="A20" t="s">
        <v>42</v>
      </c>
      <c r="B20" t="s">
        <v>45</v>
      </c>
      <c r="C20">
        <v>11.99</v>
      </c>
      <c r="D20">
        <v>0</v>
      </c>
      <c r="E20">
        <f t="shared" si="2"/>
        <v>0</v>
      </c>
      <c r="F20">
        <v>0</v>
      </c>
      <c r="G20">
        <v>4</v>
      </c>
      <c r="H20" s="1" t="s">
        <v>47</v>
      </c>
    </row>
    <row r="21" spans="1:8" x14ac:dyDescent="0.25">
      <c r="A21" t="s">
        <v>43</v>
      </c>
      <c r="B21" t="s">
        <v>46</v>
      </c>
      <c r="C21">
        <v>16.29</v>
      </c>
      <c r="D21">
        <v>0</v>
      </c>
      <c r="E21">
        <f t="shared" si="2"/>
        <v>0</v>
      </c>
      <c r="F21">
        <v>0</v>
      </c>
      <c r="G21">
        <v>3</v>
      </c>
      <c r="H21" s="1" t="s">
        <v>48</v>
      </c>
    </row>
    <row r="22" spans="1:8" x14ac:dyDescent="0.25">
      <c r="A22" s="2" t="s">
        <v>51</v>
      </c>
      <c r="E22">
        <f>SUM(E11:E21)</f>
        <v>54.978033333333336</v>
      </c>
    </row>
    <row r="23" spans="1:8" x14ac:dyDescent="0.25">
      <c r="A23" s="2" t="s">
        <v>52</v>
      </c>
      <c r="F23">
        <f>SUM(F11:F21)</f>
        <v>101.74</v>
      </c>
    </row>
    <row r="26" spans="1:8" x14ac:dyDescent="0.25">
      <c r="A26" s="2" t="s">
        <v>58</v>
      </c>
      <c r="E26">
        <f>E22+E6</f>
        <v>119.12603333333334</v>
      </c>
    </row>
    <row r="27" spans="1:8" x14ac:dyDescent="0.25">
      <c r="A27" s="2" t="s">
        <v>59</v>
      </c>
      <c r="F27">
        <f>F23+F7</f>
        <v>189</v>
      </c>
    </row>
  </sheetData>
  <hyperlinks>
    <hyperlink ref="H2" r:id="rId1" xr:uid="{40B51DF4-6350-4C5F-8BC3-9C9327C484F0}"/>
    <hyperlink ref="H3" r:id="rId2" xr:uid="{F052E0C3-2260-4E92-9567-86B63DF73164}"/>
    <hyperlink ref="H4" r:id="rId3" xr:uid="{ACED5FEA-22C6-4879-9BCF-AFF1EB38F630}"/>
    <hyperlink ref="H5" r:id="rId4" xr:uid="{E3888104-95D5-4681-A13F-59A894BE5148}"/>
    <hyperlink ref="H12" r:id="rId5" xr:uid="{70979622-C9E4-4B0E-9730-D98875DCEDA7}"/>
    <hyperlink ref="H11" r:id="rId6" xr:uid="{188E28B2-E292-4807-8E96-83F154C9BAA1}"/>
    <hyperlink ref="H14" r:id="rId7" xr:uid="{847FB483-2A53-40AD-9EAA-976039547BAA}"/>
    <hyperlink ref="H15" r:id="rId8" xr:uid="{E6C20EE8-1DC2-4FDF-816A-6545B0ED256C}"/>
    <hyperlink ref="H16" r:id="rId9" xr:uid="{CCAE9203-9973-4A03-9D6A-7B923AE3D5CB}"/>
    <hyperlink ref="H20" r:id="rId10" xr:uid="{4B4CE5E3-25E3-4B9A-911F-E92CE683E556}"/>
    <hyperlink ref="H21" r:id="rId11" xr:uid="{7A2AE6AC-12D0-4CC4-B699-F2C0A2886497}"/>
    <hyperlink ref="H17" r:id="rId12" xr:uid="{C551751A-717A-4B0A-B147-DBCF0F0A28B4}"/>
    <hyperlink ref="H19" r:id="rId13" xr:uid="{7F60654A-386F-4B22-96CF-629EA2A781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BEB8-C1FB-4662-B501-F5CA11694E59}">
  <dimension ref="A1:F23"/>
  <sheetViews>
    <sheetView workbookViewId="0">
      <selection activeCell="B12" sqref="B12"/>
    </sheetView>
  </sheetViews>
  <sheetFormatPr baseColWidth="10" defaultRowHeight="15" x14ac:dyDescent="0.25"/>
  <cols>
    <col min="1" max="1" width="21" customWidth="1"/>
    <col min="2" max="2" width="19.28515625" customWidth="1"/>
    <col min="3" max="3" width="17.85546875" customWidth="1"/>
    <col min="4" max="4" width="15" customWidth="1"/>
    <col min="5" max="5" width="25.140625" customWidth="1"/>
    <col min="6" max="6" width="18.5703125" customWidth="1"/>
    <col min="7" max="7" width="20.85546875" customWidth="1"/>
  </cols>
  <sheetData>
    <row r="1" spans="1:6" x14ac:dyDescent="0.25">
      <c r="A1" t="s">
        <v>60</v>
      </c>
      <c r="B1" t="s">
        <v>65</v>
      </c>
      <c r="C1" t="s">
        <v>73</v>
      </c>
      <c r="D1" t="s">
        <v>76</v>
      </c>
      <c r="E1" t="s">
        <v>74</v>
      </c>
      <c r="F1" t="s">
        <v>75</v>
      </c>
    </row>
    <row r="2" spans="1:6" x14ac:dyDescent="0.25">
      <c r="A2">
        <v>200</v>
      </c>
      <c r="B2">
        <f>A2-$B$13</f>
        <v>80</v>
      </c>
      <c r="C2">
        <f>A2+$B$10</f>
        <v>225</v>
      </c>
      <c r="D2">
        <f>$B2+$E$10</f>
        <v>85.74</v>
      </c>
      <c r="E2">
        <f>A2+$B$10+$B$11</f>
        <v>250</v>
      </c>
      <c r="F2">
        <f>$D2+$E$11</f>
        <v>98.74</v>
      </c>
    </row>
    <row r="3" spans="1:6" x14ac:dyDescent="0.25">
      <c r="A3">
        <v>250</v>
      </c>
      <c r="B3">
        <f t="shared" ref="B3:B6" si="0">A3-$B$13</f>
        <v>130</v>
      </c>
      <c r="C3">
        <f t="shared" ref="C3:C6" si="1">A3+$B$10</f>
        <v>275</v>
      </c>
      <c r="D3">
        <f t="shared" ref="D3:D6" si="2">$B3+$E$10</f>
        <v>135.74</v>
      </c>
      <c r="E3">
        <f t="shared" ref="E3:E6" si="3">A3+$B$10+$B$11</f>
        <v>300</v>
      </c>
      <c r="F3">
        <f>$D3+$E$11</f>
        <v>148.74</v>
      </c>
    </row>
    <row r="4" spans="1:6" x14ac:dyDescent="0.25">
      <c r="A4">
        <v>300</v>
      </c>
      <c r="B4">
        <f t="shared" si="0"/>
        <v>180</v>
      </c>
      <c r="C4">
        <f t="shared" si="1"/>
        <v>325</v>
      </c>
      <c r="D4">
        <f t="shared" si="2"/>
        <v>185.74</v>
      </c>
      <c r="E4">
        <f t="shared" si="3"/>
        <v>350</v>
      </c>
      <c r="F4">
        <f>$D4+$E$11</f>
        <v>198.74</v>
      </c>
    </row>
    <row r="5" spans="1:6" x14ac:dyDescent="0.25">
      <c r="A5">
        <v>350</v>
      </c>
      <c r="B5">
        <f t="shared" si="0"/>
        <v>230</v>
      </c>
      <c r="C5">
        <f t="shared" si="1"/>
        <v>375</v>
      </c>
      <c r="D5">
        <f t="shared" si="2"/>
        <v>235.74</v>
      </c>
      <c r="E5">
        <f t="shared" si="3"/>
        <v>400</v>
      </c>
      <c r="F5">
        <f>$D5+$E$11</f>
        <v>248.74</v>
      </c>
    </row>
    <row r="6" spans="1:6" x14ac:dyDescent="0.25">
      <c r="A6">
        <v>400</v>
      </c>
      <c r="B6">
        <f t="shared" si="0"/>
        <v>280</v>
      </c>
      <c r="C6">
        <f t="shared" si="1"/>
        <v>425</v>
      </c>
      <c r="D6">
        <f t="shared" si="2"/>
        <v>285.74</v>
      </c>
      <c r="E6">
        <f t="shared" si="3"/>
        <v>450</v>
      </c>
      <c r="F6">
        <f>$D6+$E$11</f>
        <v>298.74</v>
      </c>
    </row>
    <row r="10" spans="1:6" x14ac:dyDescent="0.25">
      <c r="A10" t="s">
        <v>61</v>
      </c>
      <c r="B10">
        <v>25</v>
      </c>
      <c r="D10" t="s">
        <v>63</v>
      </c>
      <c r="E10">
        <f>B10-B14-B16</f>
        <v>5.74</v>
      </c>
    </row>
    <row r="11" spans="1:6" x14ac:dyDescent="0.25">
      <c r="A11" t="s">
        <v>62</v>
      </c>
      <c r="B11">
        <v>25</v>
      </c>
      <c r="D11" t="s">
        <v>64</v>
      </c>
      <c r="E11">
        <f>B11-B15</f>
        <v>13</v>
      </c>
    </row>
    <row r="13" spans="1:6" x14ac:dyDescent="0.25">
      <c r="A13" t="s">
        <v>77</v>
      </c>
      <c r="B13">
        <v>120</v>
      </c>
    </row>
    <row r="14" spans="1:6" x14ac:dyDescent="0.25">
      <c r="A14" t="s">
        <v>66</v>
      </c>
      <c r="B14">
        <v>16</v>
      </c>
    </row>
    <row r="15" spans="1:6" x14ac:dyDescent="0.25">
      <c r="A15" t="s">
        <v>67</v>
      </c>
      <c r="B15">
        <v>12</v>
      </c>
    </row>
    <row r="16" spans="1:6" x14ac:dyDescent="0.25">
      <c r="A16" t="s">
        <v>68</v>
      </c>
      <c r="B16">
        <v>3.26</v>
      </c>
    </row>
    <row r="18" spans="1:4" x14ac:dyDescent="0.25">
      <c r="A18" t="s">
        <v>69</v>
      </c>
      <c r="B18" s="3" t="s">
        <v>70</v>
      </c>
      <c r="C18" s="3"/>
      <c r="D18" s="3"/>
    </row>
    <row r="19" spans="1:4" x14ac:dyDescent="0.25">
      <c r="A19" t="s">
        <v>71</v>
      </c>
      <c r="B19" s="3" t="s">
        <v>72</v>
      </c>
      <c r="C19" s="3"/>
      <c r="D19" s="3"/>
    </row>
    <row r="21" spans="1:4" x14ac:dyDescent="0.25">
      <c r="A21" s="3" t="s">
        <v>78</v>
      </c>
      <c r="B21" s="3"/>
      <c r="C21">
        <v>230</v>
      </c>
    </row>
    <row r="22" spans="1:4" x14ac:dyDescent="0.25">
      <c r="A22" s="3" t="s">
        <v>77</v>
      </c>
      <c r="B22" s="3"/>
      <c r="C22">
        <v>120</v>
      </c>
    </row>
    <row r="23" spans="1:4" x14ac:dyDescent="0.25">
      <c r="A23" s="4" t="s">
        <v>79</v>
      </c>
      <c r="B23" s="4"/>
      <c r="C23" s="2">
        <v>350</v>
      </c>
    </row>
  </sheetData>
  <mergeCells count="5">
    <mergeCell ref="B18:D18"/>
    <mergeCell ref="B19:D19"/>
    <mergeCell ref="A21:B21"/>
    <mergeCell ref="A22:B2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BOM_bat+ch</vt:lpstr>
      <vt:lpstr>BOM_bat</vt:lpstr>
      <vt:lpstr>BOM</vt:lpstr>
      <vt:lpstr>Marge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Rys</dc:creator>
  <cp:lastModifiedBy>Martin Rys</cp:lastModifiedBy>
  <dcterms:created xsi:type="dcterms:W3CDTF">2022-10-16T11:36:29Z</dcterms:created>
  <dcterms:modified xsi:type="dcterms:W3CDTF">2022-11-06T17:26:17Z</dcterms:modified>
</cp:coreProperties>
</file>